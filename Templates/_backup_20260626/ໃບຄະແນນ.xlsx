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V15\OneDrive\Desktop\StudentSIS_Lao\"/>
    </mc:Choice>
  </mc:AlternateContent>
  <xr:revisionPtr revIDLastSave="0" documentId="13_ncr:1_{A94AC12F-1D91-4583-89C8-1B29AAFD0B96}" xr6:coauthVersionLast="47" xr6:coauthVersionMax="47" xr10:uidLastSave="{00000000-0000-0000-0000-000000000000}"/>
  <bookViews>
    <workbookView xWindow="-108" yWindow="-108" windowWidth="23256" windowHeight="12456" activeTab="3" xr2:uid="{DECAB8B8-EDC1-4C40-8A35-9F0CFAE6078A}"/>
  </bookViews>
  <sheets>
    <sheet name="Sheet1" sheetId="1" r:id="rId1"/>
    <sheet name="Sheet2" sheetId="2" r:id="rId2"/>
    <sheet name="Sheet3" sheetId="4" r:id="rId3"/>
    <sheet name="Sheet4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5" l="1"/>
  <c r="S5" i="5"/>
  <c r="Q5" i="5"/>
  <c r="P5" i="5"/>
  <c r="R5" i="5" s="1"/>
  <c r="T4" i="5"/>
  <c r="S4" i="5"/>
  <c r="Q4" i="5"/>
  <c r="P4" i="5"/>
  <c r="R4" i="5" s="1"/>
  <c r="T3" i="5"/>
  <c r="S3" i="5"/>
  <c r="Q3" i="5"/>
  <c r="P3" i="5"/>
  <c r="R3" i="5" s="1"/>
  <c r="V5" i="4"/>
  <c r="U5" i="4"/>
  <c r="S5" i="4"/>
  <c r="R5" i="4"/>
  <c r="T5" i="4" s="1"/>
  <c r="V4" i="4"/>
  <c r="U4" i="4"/>
  <c r="S4" i="4"/>
  <c r="R4" i="4"/>
  <c r="T4" i="4" s="1"/>
  <c r="V3" i="4"/>
  <c r="U3" i="4"/>
  <c r="S3" i="4"/>
  <c r="R3" i="4"/>
  <c r="T3" i="4" s="1"/>
  <c r="T4" i="2"/>
  <c r="T5" i="2"/>
  <c r="T3" i="2"/>
  <c r="V5" i="2"/>
  <c r="U5" i="2"/>
  <c r="S5" i="2"/>
  <c r="R5" i="2"/>
  <c r="V4" i="2"/>
  <c r="U4" i="2"/>
  <c r="S4" i="2"/>
  <c r="R4" i="2"/>
  <c r="V3" i="2"/>
  <c r="U3" i="2"/>
  <c r="S3" i="2"/>
  <c r="R3" i="2"/>
  <c r="T5" i="1"/>
  <c r="S5" i="1"/>
  <c r="R5" i="1"/>
  <c r="Q5" i="1"/>
  <c r="P5" i="1"/>
  <c r="R4" i="1" s="1"/>
  <c r="P4" i="1"/>
  <c r="R3" i="1"/>
  <c r="T4" i="1"/>
  <c r="T3" i="1"/>
  <c r="S4" i="1"/>
  <c r="S3" i="1"/>
  <c r="Q4" i="1"/>
  <c r="Q3" i="1"/>
  <c r="P3" i="1"/>
</calcChain>
</file>

<file path=xl/sharedStrings.xml><?xml version="1.0" encoding="utf-8"?>
<sst xmlns="http://schemas.openxmlformats.org/spreadsheetml/2006/main" count="116" uniqueCount="32">
  <si>
    <t>ລຳດັບ</t>
  </si>
  <si>
    <t>ລະຫັດນັກຮຽນ</t>
  </si>
  <si>
    <t>ຊື່ ແລະ ນາມສະກຸນ</t>
  </si>
  <si>
    <t>ພາສາລາວ ວັນນຄະດີ</t>
  </si>
  <si>
    <t>ຄະນິດສາດ</t>
  </si>
  <si>
    <t>ພູມສາດ</t>
  </si>
  <si>
    <t>ປະຫວັດສາດ</t>
  </si>
  <si>
    <t>ພາສາອັງກິດ</t>
  </si>
  <si>
    <t>ເຕັກໂນໂລຊີຂໍ້ມູນຂ່າວສານ</t>
  </si>
  <si>
    <t>ພະລະສຶກສາ</t>
  </si>
  <si>
    <t>ສີລະປະດົນຕີ</t>
  </si>
  <si>
    <t>ສີລະປະກຳ</t>
  </si>
  <si>
    <t>ພື້ນຖານວິຊາຊີບ</t>
  </si>
  <si>
    <t>ຄະແນນລວມ</t>
  </si>
  <si>
    <t>ສະເລ່ຍ</t>
  </si>
  <si>
    <t>ຈັດອັນດັບທີ</t>
  </si>
  <si>
    <t>ຄຸນສົມບັດ</t>
  </si>
  <si>
    <t>ແຮງງານ</t>
  </si>
  <si>
    <t>ວິທະຍາສາດທຳມະຊາດ</t>
  </si>
  <si>
    <t>ສຶກສາພົນລະເມືອງ</t>
  </si>
  <si>
    <t>N001</t>
  </si>
  <si>
    <t>moli lasachack</t>
  </si>
  <si>
    <t>N003</t>
  </si>
  <si>
    <t>thesuk kamon</t>
  </si>
  <si>
    <t>ຈຳນວນິຊາທີ່ເສັງຕົກ</t>
  </si>
  <si>
    <t>ຜົນເສັງ</t>
  </si>
  <si>
    <t>ສະຫຼຸບຄະແນນປຈຳເດືອນ 9 ຫ້ອງ ມ 1 ສົກຮຽນ 2025 - 2026</t>
  </si>
  <si>
    <t>N004</t>
  </si>
  <si>
    <t>sia sara</t>
  </si>
  <si>
    <t>ສະຫຼຸບສະເລ່ຍພາກຮຽນ 1 ຫ້ອງ ມ 1 ສົກຮຽນ 2025 - 2026</t>
  </si>
  <si>
    <t>ສະຫຼຸບສະເລ່ຍພາກຮຽນ 2 ຫ້ອງ ມ 1 ສົກຮຽນ 2025 - 2026</t>
  </si>
  <si>
    <t>ສະຫຼຸບຄະແນນປະຈຳປີ ຫ້ອງ ມ 1 ສົກຮຽນ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</si>
</sst>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theme="1"/>
      <name val="Phetsarath OT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F4E6-B291-43AE-848B-E414A0EFFADC}">
  <dimension ref="A1:V5"/>
  <sheetViews>
    <sheetView zoomScale="91" zoomScaleNormal="91" workbookViewId="0">
      <selection activeCell="V5" sqref="V5"/>
    </sheetView>
  </sheetViews>
  <sheetFormatPr defaultRowHeight="18"/>
  <cols>
    <col min="1" max="1" width="5.44140625" style="3" bestFit="1" customWidth="1"/>
    <col min="2" max="2" width="12" style="3" bestFit="1" customWidth="1"/>
    <col min="3" max="3" width="15.109375" style="3" bestFit="1" customWidth="1"/>
    <col min="4" max="4" width="4.33203125" style="3" bestFit="1" customWidth="1"/>
    <col min="5" max="5" width="4.33203125" style="3" customWidth="1"/>
    <col min="6" max="15" width="4.33203125" style="3" bestFit="1" customWidth="1"/>
    <col min="16" max="16" width="10.6640625" style="3" bestFit="1" customWidth="1"/>
    <col min="17" max="17" width="6.44140625" style="3" bestFit="1" customWidth="1"/>
    <col min="18" max="18" width="9.77734375" style="3" bestFit="1" customWidth="1"/>
    <col min="19" max="20" width="9.77734375" style="3" customWidth="1"/>
    <col min="21" max="21" width="8.44140625" style="3" bestFit="1" customWidth="1"/>
    <col min="22" max="22" width="6.77734375" style="3" bestFit="1" customWidth="1"/>
    <col min="23" max="16384" width="8.88671875" style="3"/>
  </cols>
  <sheetData>
    <row r="1" spans="1:22">
      <c r="A1" s="4"/>
      <c r="B1" s="4"/>
      <c r="C1" s="4"/>
      <c r="D1" s="5" t="s">
        <v>26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</row>
    <row r="2" spans="1:22" ht="105">
      <c r="A2" s="6" t="s">
        <v>0</v>
      </c>
      <c r="B2" s="6" t="s">
        <v>1</v>
      </c>
      <c r="C2" s="6" t="s">
        <v>2</v>
      </c>
      <c r="D2" s="7" t="s">
        <v>3</v>
      </c>
      <c r="E2" s="7" t="s">
        <v>19</v>
      </c>
      <c r="F2" s="7" t="s">
        <v>4</v>
      </c>
      <c r="G2" s="7" t="s">
        <v>18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6" t="s">
        <v>13</v>
      </c>
      <c r="Q2" s="6" t="s">
        <v>14</v>
      </c>
      <c r="R2" s="6" t="s">
        <v>15</v>
      </c>
      <c r="S2" s="7" t="s">
        <v>24</v>
      </c>
      <c r="T2" s="6" t="s">
        <v>25</v>
      </c>
      <c r="U2" s="6" t="s">
        <v>16</v>
      </c>
      <c r="V2" s="6" t="s">
        <v>17</v>
      </c>
    </row>
    <row r="3" spans="1:22">
      <c r="A3" s="4">
        <v>1</v>
      </c>
      <c r="B3" s="4" t="s">
        <v>20</v>
      </c>
      <c r="C3" s="4" t="s">
        <v>21</v>
      </c>
      <c r="D3" s="4">
        <v>10</v>
      </c>
      <c r="E3" s="4">
        <v>8</v>
      </c>
      <c r="F3" s="4">
        <v>7</v>
      </c>
      <c r="G3" s="4">
        <v>5</v>
      </c>
      <c r="H3" s="4">
        <v>7</v>
      </c>
      <c r="I3" s="4">
        <v>6</v>
      </c>
      <c r="J3" s="4">
        <v>4</v>
      </c>
      <c r="K3" s="4">
        <v>7</v>
      </c>
      <c r="L3" s="4">
        <v>7</v>
      </c>
      <c r="M3" s="4">
        <v>6</v>
      </c>
      <c r="N3" s="4">
        <v>6</v>
      </c>
      <c r="O3" s="4">
        <v>8</v>
      </c>
      <c r="P3" s="4">
        <f>SUM(D3:O3)</f>
        <v>81</v>
      </c>
      <c r="Q3" s="4">
        <f>AVERAGE(D3:O3)</f>
        <v>6.75</v>
      </c>
      <c r="R3" s="4" t="str">
        <f>IF(P3="", "", IF(COUNTIF(D3:O3, "&lt;5")&gt;0, "ຕົກ", _xlfn.RANK.EQ(P3, $P$3:$P$50, 0)))</f>
        <v>ຕົກ</v>
      </c>
      <c r="S3" s="4">
        <f>COUNTIF(D3:O3,"&lt;5")</f>
        <v>1</v>
      </c>
      <c r="T3" s="4" t="str">
        <f>IF(MIN(D3:O3)&gt;4, "ເສັງໃດ້","ຕົກ")</f>
        <v>ຕົກ</v>
      </c>
      <c r="U3" s="4">
        <v>8</v>
      </c>
      <c r="V3" s="4">
        <v>8</v>
      </c>
    </row>
    <row r="4" spans="1:22">
      <c r="A4" s="4">
        <v>2</v>
      </c>
      <c r="B4" s="4" t="s">
        <v>22</v>
      </c>
      <c r="C4" s="4" t="s">
        <v>23</v>
      </c>
      <c r="D4" s="4">
        <v>8</v>
      </c>
      <c r="E4" s="4">
        <v>5</v>
      </c>
      <c r="F4" s="4">
        <v>5</v>
      </c>
      <c r="G4" s="4">
        <v>7</v>
      </c>
      <c r="H4" s="4">
        <v>5</v>
      </c>
      <c r="I4" s="4">
        <v>9</v>
      </c>
      <c r="J4" s="4">
        <v>7</v>
      </c>
      <c r="K4" s="4">
        <v>6</v>
      </c>
      <c r="L4" s="4">
        <v>7</v>
      </c>
      <c r="M4" s="4">
        <v>8</v>
      </c>
      <c r="N4" s="4">
        <v>7</v>
      </c>
      <c r="O4" s="4">
        <v>7</v>
      </c>
      <c r="P4" s="4">
        <f>SUM(D4:O4)</f>
        <v>81</v>
      </c>
      <c r="Q4" s="4">
        <f>AVERAGE(D4:O4)</f>
        <v>6.75</v>
      </c>
      <c r="R4" s="4">
        <f>IF(P4="", "", IF(COUNTIF(D4:O4, "&lt;5")&gt;0, "ຕົກ", _xlfn.RANK.EQ(P4, $P$3:$P$50, 0)))</f>
        <v>1</v>
      </c>
      <c r="S4" s="4">
        <f>COUNTIF(D4:O4,"&lt;5")</f>
        <v>0</v>
      </c>
      <c r="T4" s="4" t="str">
        <f>IF(MIN(D4:O4)&gt;4, "ເສັງໃດ້","ຕົກ")</f>
        <v>ເສັງໃດ້</v>
      </c>
      <c r="U4" s="4">
        <v>8</v>
      </c>
      <c r="V4" s="4">
        <v>8</v>
      </c>
    </row>
    <row r="5" spans="1:22">
      <c r="A5" s="4">
        <v>3</v>
      </c>
      <c r="B5" s="4" t="s">
        <v>27</v>
      </c>
      <c r="C5" s="4" t="s">
        <v>28</v>
      </c>
      <c r="D5" s="4">
        <v>6</v>
      </c>
      <c r="E5" s="4">
        <v>4</v>
      </c>
      <c r="F5" s="4">
        <v>4</v>
      </c>
      <c r="G5" s="4">
        <v>5</v>
      </c>
      <c r="H5" s="4">
        <v>8</v>
      </c>
      <c r="I5" s="4">
        <v>7</v>
      </c>
      <c r="J5" s="4">
        <v>7</v>
      </c>
      <c r="K5" s="4">
        <v>6</v>
      </c>
      <c r="L5" s="4">
        <v>7</v>
      </c>
      <c r="M5" s="4">
        <v>8</v>
      </c>
      <c r="N5" s="4">
        <v>8</v>
      </c>
      <c r="O5" s="4">
        <v>8</v>
      </c>
      <c r="P5" s="4">
        <f>SUM(D5:O5)</f>
        <v>78</v>
      </c>
      <c r="Q5" s="4">
        <f>AVERAGE(D5:O5)</f>
        <v>6.5</v>
      </c>
      <c r="R5" s="4" t="str">
        <f>IF(P5="", "", IF(COUNTIF(D5:O5, "&lt;5")&gt;0, "ຕົກ", _xlfn.RANK.EQ(P5, $P$3:$P$50, 0)))</f>
        <v>ຕົກ</v>
      </c>
      <c r="S5" s="4">
        <f>COUNTIF(D5:O5,"&lt;5")</f>
        <v>2</v>
      </c>
      <c r="T5" s="4" t="str">
        <f>IF(MIN(D5:O5)&gt;4, "ເສັງໃດ້","ຕົກ")</f>
        <v>ຕົກ</v>
      </c>
      <c r="U5" s="4">
        <v>8</v>
      </c>
      <c r="V5" s="4">
        <v>7</v>
      </c>
    </row>
  </sheetData>
  <mergeCells count="1"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2FF4-BF66-497C-B03C-980C604E2C5D}">
  <dimension ref="A1:X6"/>
  <sheetViews>
    <sheetView topLeftCell="D1" workbookViewId="0">
      <selection activeCell="D1" sqref="D1:X5"/>
    </sheetView>
  </sheetViews>
  <sheetFormatPr defaultRowHeight="14.4"/>
  <cols>
    <col min="3" max="3" width="5.33203125" bestFit="1" customWidth="1"/>
    <col min="4" max="4" width="11.6640625" bestFit="1" customWidth="1"/>
    <col min="5" max="5" width="14.6640625" bestFit="1" customWidth="1"/>
    <col min="6" max="17" width="4.21875" bestFit="1" customWidth="1"/>
    <col min="18" max="18" width="10.5546875" bestFit="1" customWidth="1"/>
    <col min="19" max="19" width="6.21875" bestFit="1" customWidth="1"/>
    <col min="20" max="20" width="9.6640625" bestFit="1" customWidth="1"/>
    <col min="21" max="21" width="4.21875" bestFit="1" customWidth="1"/>
    <col min="22" max="22" width="6" bestFit="1" customWidth="1"/>
    <col min="23" max="23" width="8.44140625" bestFit="1" customWidth="1"/>
    <col min="24" max="24" width="6.77734375" bestFit="1" customWidth="1"/>
  </cols>
  <sheetData>
    <row r="1" spans="1:24" ht="18">
      <c r="A1" s="1"/>
      <c r="B1" s="1"/>
      <c r="C1" s="3"/>
      <c r="D1" s="4"/>
      <c r="E1" s="4"/>
      <c r="F1" s="5" t="s">
        <v>29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/>
      <c r="S1" s="4"/>
      <c r="T1" s="4"/>
      <c r="U1" s="4"/>
      <c r="V1" s="4"/>
      <c r="W1" s="4"/>
      <c r="X1" s="4"/>
    </row>
    <row r="2" spans="1:24" ht="105">
      <c r="A2" s="2"/>
      <c r="B2" s="2"/>
      <c r="C2" s="2" t="s">
        <v>0</v>
      </c>
      <c r="D2" s="6" t="s">
        <v>1</v>
      </c>
      <c r="E2" s="6" t="s">
        <v>2</v>
      </c>
      <c r="F2" s="7" t="s">
        <v>3</v>
      </c>
      <c r="G2" s="7" t="s">
        <v>19</v>
      </c>
      <c r="H2" s="7" t="s">
        <v>4</v>
      </c>
      <c r="I2" s="7" t="s">
        <v>18</v>
      </c>
      <c r="J2" s="7" t="s">
        <v>5</v>
      </c>
      <c r="K2" s="7" t="s">
        <v>6</v>
      </c>
      <c r="L2" s="7" t="s">
        <v>7</v>
      </c>
      <c r="M2" s="7" t="s">
        <v>8</v>
      </c>
      <c r="N2" s="7" t="s">
        <v>9</v>
      </c>
      <c r="O2" s="7" t="s">
        <v>10</v>
      </c>
      <c r="P2" s="7" t="s">
        <v>11</v>
      </c>
      <c r="Q2" s="7" t="s">
        <v>12</v>
      </c>
      <c r="R2" s="6" t="s">
        <v>13</v>
      </c>
      <c r="S2" s="6" t="s">
        <v>14</v>
      </c>
      <c r="T2" s="6" t="s">
        <v>15</v>
      </c>
      <c r="U2" s="7" t="s">
        <v>24</v>
      </c>
      <c r="V2" s="6" t="s">
        <v>25</v>
      </c>
      <c r="W2" s="6" t="s">
        <v>16</v>
      </c>
      <c r="X2" s="6" t="s">
        <v>17</v>
      </c>
    </row>
    <row r="3" spans="1:24" ht="18">
      <c r="A3" s="1"/>
      <c r="B3" s="1"/>
      <c r="C3" s="3">
        <v>1</v>
      </c>
      <c r="D3" s="4" t="s">
        <v>20</v>
      </c>
      <c r="E3" s="4" t="s">
        <v>21</v>
      </c>
      <c r="F3" s="4">
        <v>10</v>
      </c>
      <c r="G3" s="4">
        <v>8</v>
      </c>
      <c r="H3" s="4">
        <v>7</v>
      </c>
      <c r="I3" s="4">
        <v>5</v>
      </c>
      <c r="J3" s="4">
        <v>7</v>
      </c>
      <c r="K3" s="4">
        <v>6</v>
      </c>
      <c r="L3" s="4">
        <v>4</v>
      </c>
      <c r="M3" s="4">
        <v>7</v>
      </c>
      <c r="N3" s="4">
        <v>7</v>
      </c>
      <c r="O3" s="4">
        <v>6</v>
      </c>
      <c r="P3" s="4">
        <v>6</v>
      </c>
      <c r="Q3" s="4">
        <v>8</v>
      </c>
      <c r="R3" s="4">
        <f>SUM(F3:Q3)</f>
        <v>81</v>
      </c>
      <c r="S3" s="4">
        <f>AVERAGE(F3:Q3)</f>
        <v>6.75</v>
      </c>
      <c r="T3" s="4" t="str">
        <f>IF(R3="", "", IF(COUNTIF(F3:Q3, "&lt;5")&gt;0, "ຕົກ", _xlfn.RANK.EQ(R3, $R$3:$R$50, 0)))</f>
        <v>ຕົກ</v>
      </c>
      <c r="U3" s="4">
        <f>COUNTIF(F3:Q3,"&lt;5")</f>
        <v>1</v>
      </c>
      <c r="V3" s="4" t="str">
        <f>IF(MIN(F3:Q3)&gt;4, "ເສັງໃດ້","ຕົກ")</f>
        <v>ຕົກ</v>
      </c>
      <c r="W3" s="4">
        <v>8</v>
      </c>
      <c r="X3" s="4">
        <v>8</v>
      </c>
    </row>
    <row r="4" spans="1:24" ht="18">
      <c r="A4" s="1"/>
      <c r="B4" s="1"/>
      <c r="C4" s="3">
        <v>2</v>
      </c>
      <c r="D4" s="4" t="s">
        <v>22</v>
      </c>
      <c r="E4" s="4" t="s">
        <v>23</v>
      </c>
      <c r="F4" s="4">
        <v>8</v>
      </c>
      <c r="G4" s="4">
        <v>5</v>
      </c>
      <c r="H4" s="4">
        <v>5</v>
      </c>
      <c r="I4" s="4">
        <v>7</v>
      </c>
      <c r="J4" s="4">
        <v>5</v>
      </c>
      <c r="K4" s="4">
        <v>9</v>
      </c>
      <c r="L4" s="4">
        <v>7</v>
      </c>
      <c r="M4" s="4">
        <v>6</v>
      </c>
      <c r="N4" s="4">
        <v>7</v>
      </c>
      <c r="O4" s="4">
        <v>8</v>
      </c>
      <c r="P4" s="4">
        <v>7</v>
      </c>
      <c r="Q4" s="4">
        <v>7</v>
      </c>
      <c r="R4" s="4">
        <f>SUM(F4:Q4)</f>
        <v>81</v>
      </c>
      <c r="S4" s="4">
        <f>AVERAGE(F4:Q4)</f>
        <v>6.75</v>
      </c>
      <c r="T4" s="4">
        <f t="shared" ref="T4:T5" si="0">IF(R4="", "", IF(COUNTIF(F4:Q4, "&lt;5")&gt;0, "ຕົກ", _xlfn.RANK.EQ(R4, $R$3:$R$50, 0)))</f>
        <v>1</v>
      </c>
      <c r="U4" s="4">
        <f>COUNTIF(F4:Q4,"&lt;5")</f>
        <v>0</v>
      </c>
      <c r="V4" s="4" t="str">
        <f>IF(MIN(F4:Q4)&gt;4, "ເສັງໃດ້","ຕົກ")</f>
        <v>ເສັງໃດ້</v>
      </c>
      <c r="W4" s="4">
        <v>8</v>
      </c>
      <c r="X4" s="4">
        <v>8</v>
      </c>
    </row>
    <row r="5" spans="1:24" ht="18">
      <c r="B5" s="1"/>
      <c r="C5" s="3">
        <v>3</v>
      </c>
      <c r="D5" s="4" t="s">
        <v>27</v>
      </c>
      <c r="E5" s="4" t="s">
        <v>28</v>
      </c>
      <c r="F5" s="4">
        <v>6</v>
      </c>
      <c r="G5" s="4">
        <v>4</v>
      </c>
      <c r="H5" s="4">
        <v>4</v>
      </c>
      <c r="I5" s="4">
        <v>5</v>
      </c>
      <c r="J5" s="4">
        <v>8</v>
      </c>
      <c r="K5" s="4">
        <v>7</v>
      </c>
      <c r="L5" s="4">
        <v>7</v>
      </c>
      <c r="M5" s="4">
        <v>6</v>
      </c>
      <c r="N5" s="4">
        <v>7</v>
      </c>
      <c r="O5" s="4">
        <v>8</v>
      </c>
      <c r="P5" s="4">
        <v>8</v>
      </c>
      <c r="Q5" s="4">
        <v>8</v>
      </c>
      <c r="R5" s="4">
        <f>SUM(F5:Q5)</f>
        <v>78</v>
      </c>
      <c r="S5" s="4">
        <f>AVERAGE(F5:Q5)</f>
        <v>6.5</v>
      </c>
      <c r="T5" s="4" t="str">
        <f t="shared" si="0"/>
        <v>ຕົກ</v>
      </c>
      <c r="U5" s="4">
        <f>COUNTIF(F5:Q5,"&lt;5")</f>
        <v>2</v>
      </c>
      <c r="V5" s="4" t="str">
        <f>IF(MIN(F5:Q5)&gt;4, "ເສັງໃດ້","ຕົກ")</f>
        <v>ຕົກ</v>
      </c>
      <c r="W5" s="4">
        <v>8</v>
      </c>
      <c r="X5" s="4">
        <v>7</v>
      </c>
    </row>
    <row r="6" spans="1:24" ht="1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</sheetData>
  <mergeCells count="1">
    <mergeCell ref="F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59A-4BC8-40F5-A756-7766EE2A6080}">
  <dimension ref="A1:X6"/>
  <sheetViews>
    <sheetView workbookViewId="0">
      <selection activeCell="K2" sqref="K2"/>
    </sheetView>
  </sheetViews>
  <sheetFormatPr defaultRowHeight="14.4"/>
  <cols>
    <col min="3" max="3" width="5.33203125" bestFit="1" customWidth="1"/>
    <col min="4" max="4" width="11.6640625" bestFit="1" customWidth="1"/>
    <col min="5" max="5" width="14.6640625" bestFit="1" customWidth="1"/>
    <col min="6" max="17" width="4.21875" bestFit="1" customWidth="1"/>
    <col min="18" max="18" width="10.5546875" bestFit="1" customWidth="1"/>
    <col min="19" max="19" width="6.21875" bestFit="1" customWidth="1"/>
    <col min="20" max="20" width="9.6640625" bestFit="1" customWidth="1"/>
    <col min="21" max="21" width="4.21875" bestFit="1" customWidth="1"/>
    <col min="22" max="22" width="6" bestFit="1" customWidth="1"/>
    <col min="23" max="23" width="8.44140625" bestFit="1" customWidth="1"/>
    <col min="24" max="24" width="6.77734375" bestFit="1" customWidth="1"/>
  </cols>
  <sheetData>
    <row r="1" spans="1:24" ht="18">
      <c r="A1" s="1"/>
      <c r="B1" s="1"/>
      <c r="C1" s="4"/>
      <c r="D1" s="4"/>
      <c r="E1" s="4"/>
      <c r="F1" s="5" t="s">
        <v>30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/>
      <c r="S1" s="4"/>
      <c r="T1" s="4"/>
      <c r="U1" s="4"/>
      <c r="V1" s="4"/>
      <c r="W1" s="4"/>
      <c r="X1" s="4"/>
    </row>
    <row r="2" spans="1:24" ht="105">
      <c r="A2" s="2"/>
      <c r="B2" s="2"/>
      <c r="C2" s="6" t="s">
        <v>0</v>
      </c>
      <c r="D2" s="6" t="s">
        <v>1</v>
      </c>
      <c r="E2" s="6" t="s">
        <v>2</v>
      </c>
      <c r="F2" s="7" t="s">
        <v>3</v>
      </c>
      <c r="G2" s="7" t="s">
        <v>19</v>
      </c>
      <c r="H2" s="7" t="s">
        <v>4</v>
      </c>
      <c r="I2" s="7" t="s">
        <v>18</v>
      </c>
      <c r="J2" s="7" t="s">
        <v>5</v>
      </c>
      <c r="K2" s="7" t="s">
        <v>6</v>
      </c>
      <c r="L2" s="7" t="s">
        <v>7</v>
      </c>
      <c r="M2" s="7" t="s">
        <v>8</v>
      </c>
      <c r="N2" s="7" t="s">
        <v>9</v>
      </c>
      <c r="O2" s="7" t="s">
        <v>10</v>
      </c>
      <c r="P2" s="7" t="s">
        <v>11</v>
      </c>
      <c r="Q2" s="7" t="s">
        <v>12</v>
      </c>
      <c r="R2" s="6" t="s">
        <v>13</v>
      </c>
      <c r="S2" s="6" t="s">
        <v>14</v>
      </c>
      <c r="T2" s="6" t="s">
        <v>15</v>
      </c>
      <c r="U2" s="7" t="s">
        <v>24</v>
      </c>
      <c r="V2" s="6" t="s">
        <v>25</v>
      </c>
      <c r="W2" s="6" t="s">
        <v>16</v>
      </c>
      <c r="X2" s="6" t="s">
        <v>17</v>
      </c>
    </row>
    <row r="3" spans="1:24" ht="18">
      <c r="A3" s="1"/>
      <c r="B3" s="1"/>
      <c r="C3" s="4">
        <v>1</v>
      </c>
      <c r="D3" s="4" t="s">
        <v>20</v>
      </c>
      <c r="E3" s="4" t="s">
        <v>21</v>
      </c>
      <c r="F3" s="4">
        <v>10</v>
      </c>
      <c r="G3" s="4">
        <v>8</v>
      </c>
      <c r="H3" s="4">
        <v>7</v>
      </c>
      <c r="I3" s="4">
        <v>5</v>
      </c>
      <c r="J3" s="4">
        <v>7</v>
      </c>
      <c r="K3" s="4">
        <v>6</v>
      </c>
      <c r="L3" s="4">
        <v>4</v>
      </c>
      <c r="M3" s="4">
        <v>7</v>
      </c>
      <c r="N3" s="4">
        <v>7</v>
      </c>
      <c r="O3" s="4">
        <v>6</v>
      </c>
      <c r="P3" s="4">
        <v>6</v>
      </c>
      <c r="Q3" s="4">
        <v>8</v>
      </c>
      <c r="R3" s="4">
        <f>SUM(F3:Q3)</f>
        <v>81</v>
      </c>
      <c r="S3" s="4">
        <f>AVERAGE(F3:Q3)</f>
        <v>6.75</v>
      </c>
      <c r="T3" s="4" t="str">
        <f>IF(R3="", "", IF(COUNTIF(F3:Q3, "&lt;5")&gt;0, "ຕົກ", _xlfn.RANK.EQ(R3, $R$3:$R$50, 0)))</f>
        <v>ຕົກ</v>
      </c>
      <c r="U3" s="4">
        <f>COUNTIF(F3:Q3,"&lt;5")</f>
        <v>1</v>
      </c>
      <c r="V3" s="4" t="str">
        <f>IF(MIN(F3:Q3)&gt;4, "ເສັງໃດ້","ຕົກ")</f>
        <v>ຕົກ</v>
      </c>
      <c r="W3" s="4">
        <v>8</v>
      </c>
      <c r="X3" s="4">
        <v>8</v>
      </c>
    </row>
    <row r="4" spans="1:24" ht="18">
      <c r="A4" s="1"/>
      <c r="B4" s="1"/>
      <c r="C4" s="4">
        <v>2</v>
      </c>
      <c r="D4" s="4" t="s">
        <v>22</v>
      </c>
      <c r="E4" s="4" t="s">
        <v>23</v>
      </c>
      <c r="F4" s="4">
        <v>8</v>
      </c>
      <c r="G4" s="4">
        <v>5</v>
      </c>
      <c r="H4" s="4">
        <v>5</v>
      </c>
      <c r="I4" s="4">
        <v>7</v>
      </c>
      <c r="J4" s="4">
        <v>5</v>
      </c>
      <c r="K4" s="4">
        <v>9</v>
      </c>
      <c r="L4" s="4">
        <v>7</v>
      </c>
      <c r="M4" s="4">
        <v>6</v>
      </c>
      <c r="N4" s="4">
        <v>7</v>
      </c>
      <c r="O4" s="4">
        <v>8</v>
      </c>
      <c r="P4" s="4">
        <v>7</v>
      </c>
      <c r="Q4" s="4">
        <v>7</v>
      </c>
      <c r="R4" s="4">
        <f>SUM(F4:Q4)</f>
        <v>81</v>
      </c>
      <c r="S4" s="4">
        <f>AVERAGE(F4:Q4)</f>
        <v>6.75</v>
      </c>
      <c r="T4" s="4">
        <f t="shared" ref="T4:T5" si="0">IF(R4="", "", IF(COUNTIF(F4:Q4, "&lt;5")&gt;0, "ຕົກ", _xlfn.RANK.EQ(R4, $R$3:$R$50, 0)))</f>
        <v>1</v>
      </c>
      <c r="U4" s="4">
        <f>COUNTIF(F4:Q4,"&lt;5")</f>
        <v>0</v>
      </c>
      <c r="V4" s="4" t="str">
        <f>IF(MIN(F4:Q4)&gt;4, "ເສັງໃດ້","ຕົກ")</f>
        <v>ເສັງໃດ້</v>
      </c>
      <c r="W4" s="4">
        <v>8</v>
      </c>
      <c r="X4" s="4">
        <v>8</v>
      </c>
    </row>
    <row r="5" spans="1:24" ht="18">
      <c r="B5" s="1"/>
      <c r="C5" s="4">
        <v>3</v>
      </c>
      <c r="D5" s="4" t="s">
        <v>27</v>
      </c>
      <c r="E5" s="4" t="s">
        <v>28</v>
      </c>
      <c r="F5" s="4">
        <v>6</v>
      </c>
      <c r="G5" s="4">
        <v>4</v>
      </c>
      <c r="H5" s="4">
        <v>4</v>
      </c>
      <c r="I5" s="4">
        <v>5</v>
      </c>
      <c r="J5" s="4">
        <v>8</v>
      </c>
      <c r="K5" s="4">
        <v>7</v>
      </c>
      <c r="L5" s="4">
        <v>7</v>
      </c>
      <c r="M5" s="4">
        <v>6</v>
      </c>
      <c r="N5" s="4">
        <v>7</v>
      </c>
      <c r="O5" s="4">
        <v>8</v>
      </c>
      <c r="P5" s="4">
        <v>8</v>
      </c>
      <c r="Q5" s="4">
        <v>8</v>
      </c>
      <c r="R5" s="4">
        <f>SUM(F5:Q5)</f>
        <v>78</v>
      </c>
      <c r="S5" s="4">
        <f>AVERAGE(F5:Q5)</f>
        <v>6.5</v>
      </c>
      <c r="T5" s="4" t="str">
        <f t="shared" si="0"/>
        <v>ຕົກ</v>
      </c>
      <c r="U5" s="4">
        <f>COUNTIF(F5:Q5,"&lt;5")</f>
        <v>2</v>
      </c>
      <c r="V5" s="4" t="str">
        <f>IF(MIN(F5:Q5)&gt;4, "ເສັງໃດ້","ຕົກ")</f>
        <v>ຕົກ</v>
      </c>
      <c r="W5" s="4">
        <v>8</v>
      </c>
      <c r="X5" s="4">
        <v>7</v>
      </c>
    </row>
    <row r="6" spans="1:24" ht="1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</sheetData>
  <mergeCells count="1">
    <mergeCell ref="F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9BBA-78B2-4F47-82D4-86F820E4A76E}">
  <dimension ref="A1:V5"/>
  <sheetViews>
    <sheetView tabSelected="1" workbookViewId="0">
      <selection activeCell="T2" sqref="T2"/>
    </sheetView>
  </sheetViews>
  <sheetFormatPr defaultRowHeight="14.4"/>
  <cols>
    <col min="1" max="1" width="5.33203125" bestFit="1" customWidth="1"/>
    <col min="2" max="2" width="11.6640625" bestFit="1" customWidth="1"/>
    <col min="3" max="3" width="14.6640625" bestFit="1" customWidth="1"/>
    <col min="4" max="15" width="4.21875" bestFit="1" customWidth="1"/>
    <col min="16" max="16" width="10.5546875" bestFit="1" customWidth="1"/>
    <col min="17" max="17" width="6.21875" bestFit="1" customWidth="1"/>
    <col min="18" max="18" width="9.6640625" bestFit="1" customWidth="1"/>
    <col min="19" max="19" width="4.21875" bestFit="1" customWidth="1"/>
    <col min="20" max="20" width="6" bestFit="1" customWidth="1"/>
    <col min="21" max="21" width="8.44140625" bestFit="1" customWidth="1"/>
    <col min="22" max="22" width="6.77734375" bestFit="1" customWidth="1"/>
  </cols>
  <sheetData>
    <row r="1" spans="1:22" ht="18.600000000000001" thickBot="1">
      <c r="A1" s="10"/>
      <c r="B1" s="11"/>
      <c r="C1" s="11"/>
      <c r="D1" s="12" t="s">
        <v>31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1"/>
      <c r="Q1" s="11"/>
      <c r="R1" s="11"/>
      <c r="S1" s="11"/>
      <c r="T1" s="11"/>
      <c r="U1" s="11"/>
      <c r="V1" s="13"/>
    </row>
    <row r="2" spans="1:22" ht="105">
      <c r="A2" s="8" t="s">
        <v>0</v>
      </c>
      <c r="B2" s="8" t="s">
        <v>1</v>
      </c>
      <c r="C2" s="8" t="s">
        <v>2</v>
      </c>
      <c r="D2" s="9" t="s">
        <v>3</v>
      </c>
      <c r="E2" s="9" t="s">
        <v>19</v>
      </c>
      <c r="F2" s="9" t="s">
        <v>4</v>
      </c>
      <c r="G2" s="9" t="s">
        <v>18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8" t="s">
        <v>13</v>
      </c>
      <c r="Q2" s="8" t="s">
        <v>14</v>
      </c>
      <c r="R2" s="8" t="s">
        <v>15</v>
      </c>
      <c r="S2" s="9" t="s">
        <v>24</v>
      </c>
      <c r="T2" s="8" t="s">
        <v>25</v>
      </c>
      <c r="U2" s="8" t="s">
        <v>16</v>
      </c>
      <c r="V2" s="8" t="s">
        <v>17</v>
      </c>
    </row>
    <row r="3" spans="1:22" ht="18">
      <c r="A3" s="4">
        <v>1</v>
      </c>
      <c r="B3" s="4" t="s">
        <v>20</v>
      </c>
      <c r="C3" s="4" t="s">
        <v>21</v>
      </c>
      <c r="D3" s="4">
        <v>10</v>
      </c>
      <c r="E3" s="4">
        <v>8</v>
      </c>
      <c r="F3" s="4">
        <v>7</v>
      </c>
      <c r="G3" s="4">
        <v>5</v>
      </c>
      <c r="H3" s="4">
        <v>7</v>
      </c>
      <c r="I3" s="4">
        <v>6</v>
      </c>
      <c r="J3" s="4">
        <v>4</v>
      </c>
      <c r="K3" s="4">
        <v>7</v>
      </c>
      <c r="L3" s="4">
        <v>7</v>
      </c>
      <c r="M3" s="4">
        <v>6</v>
      </c>
      <c r="N3" s="4">
        <v>6</v>
      </c>
      <c r="O3" s="4">
        <v>8</v>
      </c>
      <c r="P3" s="4">
        <f>SUM(D3:O3)</f>
        <v>81</v>
      </c>
      <c r="Q3" s="4">
        <f>AVERAGE(D3:O3)</f>
        <v>6.75</v>
      </c>
      <c r="R3" s="4" t="str">
        <f>IF(P3="", "", IF(COUNTIF(D3:O3, "&lt;5")&gt;0, "ຕົກ", _xlfn.RANK.EQ(P3, $P$3:$P$50, 0)))</f>
        <v>ຕົກ</v>
      </c>
      <c r="S3" s="4">
        <f>COUNTIF(D3:O3,"&lt;5")</f>
        <v>1</v>
      </c>
      <c r="T3" s="4" t="str">
        <f>IF(MIN(D3:O3)&gt;4, "ເສັງໃດ້","ຕົກ")</f>
        <v>ຕົກ</v>
      </c>
      <c r="U3" s="4">
        <v>8</v>
      </c>
      <c r="V3" s="4">
        <v>8</v>
      </c>
    </row>
    <row r="4" spans="1:22" ht="18">
      <c r="A4" s="4">
        <v>2</v>
      </c>
      <c r="B4" s="4" t="s">
        <v>22</v>
      </c>
      <c r="C4" s="4" t="s">
        <v>23</v>
      </c>
      <c r="D4" s="4">
        <v>8</v>
      </c>
      <c r="E4" s="4">
        <v>5</v>
      </c>
      <c r="F4" s="4">
        <v>5</v>
      </c>
      <c r="G4" s="4">
        <v>7</v>
      </c>
      <c r="H4" s="4">
        <v>5</v>
      </c>
      <c r="I4" s="4">
        <v>9</v>
      </c>
      <c r="J4" s="4">
        <v>7</v>
      </c>
      <c r="K4" s="4">
        <v>6</v>
      </c>
      <c r="L4" s="4">
        <v>7</v>
      </c>
      <c r="M4" s="4">
        <v>8</v>
      </c>
      <c r="N4" s="4">
        <v>7</v>
      </c>
      <c r="O4" s="4">
        <v>7</v>
      </c>
      <c r="P4" s="4">
        <f>SUM(D4:O4)</f>
        <v>81</v>
      </c>
      <c r="Q4" s="4">
        <f>AVERAGE(D4:O4)</f>
        <v>6.75</v>
      </c>
      <c r="R4" s="4">
        <f>IF(P4="", "", IF(COUNTIF(D4:O4, "&lt;5")&gt;0, "ຕົກ", _xlfn.RANK.EQ(P4, $P$3:$P$50, 0)))</f>
        <v>1</v>
      </c>
      <c r="S4" s="4">
        <f>COUNTIF(D4:O4,"&lt;5")</f>
        <v>0</v>
      </c>
      <c r="T4" s="4" t="str">
        <f>IF(MIN(D4:O4)&gt;4, "ເສັງໃດ້","ຕົກ")</f>
        <v>ເສັງໃດ້</v>
      </c>
      <c r="U4" s="4">
        <v>8</v>
      </c>
      <c r="V4" s="4">
        <v>8</v>
      </c>
    </row>
    <row r="5" spans="1:22" ht="18">
      <c r="A5" s="4">
        <v>3</v>
      </c>
      <c r="B5" s="4" t="s">
        <v>27</v>
      </c>
      <c r="C5" s="4" t="s">
        <v>28</v>
      </c>
      <c r="D5" s="4">
        <v>6</v>
      </c>
      <c r="E5" s="4">
        <v>4</v>
      </c>
      <c r="F5" s="4">
        <v>4</v>
      </c>
      <c r="G5" s="4">
        <v>5</v>
      </c>
      <c r="H5" s="4">
        <v>8</v>
      </c>
      <c r="I5" s="4">
        <v>7</v>
      </c>
      <c r="J5" s="4">
        <v>7</v>
      </c>
      <c r="K5" s="4">
        <v>6</v>
      </c>
      <c r="L5" s="4">
        <v>7</v>
      </c>
      <c r="M5" s="4">
        <v>8</v>
      </c>
      <c r="N5" s="4">
        <v>8</v>
      </c>
      <c r="O5" s="4">
        <v>8</v>
      </c>
      <c r="P5" s="4">
        <f>SUM(D5:O5)</f>
        <v>78</v>
      </c>
      <c r="Q5" s="4">
        <f>AVERAGE(D5:O5)</f>
        <v>6.5</v>
      </c>
      <c r="R5" s="4" t="str">
        <f>IF(P5="", "", IF(COUNTIF(D5:O5, "&lt;5")&gt;0, "ຕົກ", _xlfn.RANK.EQ(P5, $P$3:$P$50, 0)))</f>
        <v>ຕົກ</v>
      </c>
      <c r="S5" s="4">
        <f>COUNTIF(D5:O5,"&lt;5")</f>
        <v>2</v>
      </c>
      <c r="T5" s="4" t="str">
        <f>IF(MIN(D5:O5)&gt;4, "ເສັງໃດ້","ຕົກ")</f>
        <v>ຕົກ</v>
      </c>
      <c r="U5" s="4">
        <v>8</v>
      </c>
      <c r="V5" s="4">
        <v>7</v>
      </c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 LASACHACK</dc:creator>
  <cp:lastModifiedBy>Moli LASACHACK</cp:lastModifiedBy>
  <dcterms:created xsi:type="dcterms:W3CDTF">2026-05-16T16:05:19Z</dcterms:created>
  <dcterms:modified xsi:type="dcterms:W3CDTF">2026-05-18T13:09:24Z</dcterms:modified>
</cp:coreProperties>
</file>