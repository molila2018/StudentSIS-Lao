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3a0ceaada1bd78/Desktop/StudentSIS_Lao/Templates/"/>
    </mc:Choice>
  </mc:AlternateContent>
  <xr:revisionPtr revIDLastSave="4" documentId="13_ncr:1_{5CF0DD54-D3F6-469A-89E1-494EF5293779}" xr6:coauthVersionLast="47" xr6:coauthVersionMax="47" xr10:uidLastSave="{38586C1C-DE69-4BA3-9F08-15503A8822D7}"/>
  <bookViews>
    <workbookView xWindow="-108" yWindow="-108" windowWidth="23256" windowHeight="12456" activeTab="3" xr2:uid="{DECAB8B8-EDC1-4C40-8A35-9F0CFAE6078A}"/>
  </bookViews>
  <sheets>
    <sheet name="Sheet1" sheetId="1" r:id="rId1"/>
    <sheet name="Sheet2" sheetId="2" r:id="rId2"/>
    <sheet name="Sheet3" sheetId="4" r:id="rId3"/>
    <sheet name="Sheet4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" i="5" l="1"/>
  <c r="S8" i="5"/>
  <c r="Q8" i="5"/>
  <c r="P8" i="5"/>
  <c r="R8" i="5" s="1"/>
  <c r="T7" i="5"/>
  <c r="S7" i="5"/>
  <c r="Q7" i="5"/>
  <c r="P7" i="5"/>
  <c r="T6" i="5"/>
  <c r="S6" i="5"/>
  <c r="Q6" i="5"/>
  <c r="P6" i="5"/>
  <c r="R6" i="5" s="1"/>
  <c r="V8" i="4"/>
  <c r="U8" i="4"/>
  <c r="S8" i="4"/>
  <c r="R8" i="4"/>
  <c r="T8" i="4" s="1"/>
  <c r="V7" i="4"/>
  <c r="U7" i="4"/>
  <c r="S7" i="4"/>
  <c r="R7" i="4"/>
  <c r="V6" i="4"/>
  <c r="U6" i="4"/>
  <c r="S6" i="4"/>
  <c r="R6" i="4"/>
  <c r="T6" i="4" s="1"/>
  <c r="V8" i="2"/>
  <c r="U8" i="2"/>
  <c r="S8" i="2"/>
  <c r="R8" i="2"/>
  <c r="V7" i="2"/>
  <c r="U7" i="2"/>
  <c r="S7" i="2"/>
  <c r="R7" i="2"/>
  <c r="V6" i="2"/>
  <c r="U6" i="2"/>
  <c r="S6" i="2"/>
  <c r="R6" i="2"/>
  <c r="T8" i="1"/>
  <c r="S8" i="1"/>
  <c r="Q8" i="1"/>
  <c r="P8" i="1"/>
  <c r="P7" i="1"/>
  <c r="T7" i="1"/>
  <c r="T6" i="1"/>
  <c r="S7" i="1"/>
  <c r="S6" i="1"/>
  <c r="Q7" i="1"/>
  <c r="Q6" i="1"/>
  <c r="P6" i="1"/>
  <c r="R7" i="1" l="1"/>
  <c r="R8" i="1"/>
  <c r="R6" i="1"/>
  <c r="T7" i="2"/>
  <c r="T8" i="2"/>
  <c r="T6" i="2"/>
  <c r="T7" i="4"/>
  <c r="R7" i="5"/>
</calcChain>
</file>

<file path=xl/sharedStrings.xml><?xml version="1.0" encoding="utf-8"?>
<sst xmlns="http://schemas.openxmlformats.org/spreadsheetml/2006/main" count="140" uniqueCount="41">
  <si>
    <t>ລຳດັບ</t>
  </si>
  <si>
    <t>ລະຫັດນັກຮຽນ</t>
  </si>
  <si>
    <t>ຊື່ ແລະ ນາມສະກຸນ</t>
  </si>
  <si>
    <t>ພາສາລາວ ວັນນຄະດີ</t>
  </si>
  <si>
    <t>ຄະນິດສາດ</t>
  </si>
  <si>
    <t>ພູມສາດ</t>
  </si>
  <si>
    <t>ປະຫວັດສາດ</t>
  </si>
  <si>
    <t>ພາສາອັງກິດ</t>
  </si>
  <si>
    <t>ເຕັກໂນໂລຊີຂໍ້ມູນຂ່າວສານ</t>
  </si>
  <si>
    <t>ພະລະສຶກສາ</t>
  </si>
  <si>
    <t>ສີລະປະດົນຕີ</t>
  </si>
  <si>
    <t>ສີລະປະກຳ</t>
  </si>
  <si>
    <t>ພື້ນຖານວິຊາຊີບ</t>
  </si>
  <si>
    <t>ຄະແນນລວມ</t>
  </si>
  <si>
    <t>ສະເລ່ຍ</t>
  </si>
  <si>
    <t>ຈັດອັນດັບທີ</t>
  </si>
  <si>
    <t>ຄຸນສົມບັດ</t>
  </si>
  <si>
    <t>ແຮງງານ</t>
  </si>
  <si>
    <t>ວິທະຍາສາດທຳມະຊາດ</t>
  </si>
  <si>
    <t>ສຶກສາພົນລະເມືອງ</t>
  </si>
  <si>
    <t>N001</t>
  </si>
  <si>
    <t>moli lasachack</t>
  </si>
  <si>
    <t>N003</t>
  </si>
  <si>
    <t>thesuk kamon</t>
  </si>
  <si>
    <t>ຈຳນວນິຊາທີ່ເສັງຕົກ</t>
  </si>
  <si>
    <t>ຜົນເສັງ</t>
  </si>
  <si>
    <t>ສະຫຼຸບຄະແນນປຈຳເດືອນ 9 ຫ້ອງ ມ 1 ສົກຮຽນ 2025 - 2026</t>
  </si>
  <si>
    <t>N004</t>
  </si>
  <si>
    <t>sia sara</t>
  </si>
  <si>
    <t>ສະຫຼຸບສະເລ່ຍພາກຮຽນ 1 ຫ້ອງ ມ 1 ສົກຮຽນ 2025 - 2026</t>
  </si>
  <si>
    <t>ສະຫຼຸບສະເລ່ຍພາກຮຽນ 2 ຫ້ອງ ມ 1 ສົກຮຽນ 2025 - 2026</t>
  </si>
  <si>
    <t>ສະຫຼຸບຄະແນນປະຈຳປີ ຫ້ອງ ມ 1 ສົກຮຽນ 2025 - 2026</t>
  </si>
  <si>
    <t>ສາທາລະນະລັດ ປະຊາທິປະໄຕ ປະຊາຊົນລາວ</t>
  </si>
  <si>
    <t>ອຳນວຍການ</t>
  </si>
  <si>
    <t>ວິຊາການ</t>
  </si>
  <si>
    <t>ຄູປະຈຳຫ້ອງ</t>
  </si>
  <si>
    <t>ເອກະພາບ ເອກະລາດ ປະຊາທິປະໄຕ ວັດທະນາຖາວອນ</t>
  </si>
  <si>
    <t>ໂຮງຮຽນ ມ.ຕ ດົງໄພວັນ                                                                                                                                                                                          ເລກທີ 01/26</t>
  </si>
  <si>
    <t>ໂຮງຮຽນ ມ.ຕ ດົງໄພວັນ                                                                                                                                                          ເລກທີ  01/26</t>
  </si>
  <si>
    <t>ໂຮງຮຽນ ມ.ຕ ດົງໄພວັນ                                                                                                                                                           ເລກທີ 01/26</t>
  </si>
  <si>
    <t>ໂຮງຮຽນ ມ.ຕ ດົງໄພວັນ                                                                                                                                                          ເລກທີ 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</si>
</sst>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1"/>
      <color theme="1"/>
      <name val="Phetsarath OT"/>
    </font>
    <font>
      <sz val="12"/>
      <color theme="1"/>
      <name val="Phetsarath OT"/>
    </font>
    <font>
      <sz val="11"/>
      <color rgb="FF000000"/>
      <name val="Phetsarath OT"/>
    </font>
    <font>
      <sz val="12"/>
      <color rgb="FF000000"/>
      <name val="Phetsarath O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F4E6-B291-43AE-848B-E414A0EFFADC}">
  <dimension ref="A1:V10"/>
  <sheetViews>
    <sheetView zoomScale="91" zoomScaleNormal="91" workbookViewId="0">
      <selection activeCell="E10" sqref="E10"/>
    </sheetView>
  </sheetViews>
  <sheetFormatPr defaultRowHeight="18"/>
  <cols>
    <col min="1" max="1" width="5.44140625" style="3" bestFit="1" customWidth="1"/>
    <col min="2" max="2" width="12" style="3" bestFit="1" customWidth="1"/>
    <col min="3" max="3" width="15.109375" style="3" bestFit="1" customWidth="1"/>
    <col min="4" max="4" width="4.33203125" style="3" bestFit="1" customWidth="1"/>
    <col min="5" max="5" width="4.33203125" style="3" customWidth="1"/>
    <col min="6" max="15" width="4.33203125" style="3" bestFit="1" customWidth="1"/>
    <col min="16" max="16" width="10.6640625" style="3" bestFit="1" customWidth="1"/>
    <col min="17" max="17" width="6.44140625" style="3" bestFit="1" customWidth="1"/>
    <col min="18" max="18" width="9.77734375" style="3" bestFit="1" customWidth="1"/>
    <col min="19" max="20" width="9.77734375" style="3" customWidth="1"/>
    <col min="21" max="21" width="8.44140625" style="3" bestFit="1" customWidth="1"/>
    <col min="22" max="22" width="6.77734375" style="3" bestFit="1" customWidth="1"/>
    <col min="23" max="16384" width="8.88671875" style="3"/>
  </cols>
  <sheetData>
    <row r="1" spans="1:22">
      <c r="A1" s="8" t="s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9.8">
      <c r="A2" s="10" t="s">
        <v>36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9.8">
      <c r="A3" s="11" t="s">
        <v>37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>
      <c r="A4" s="9" t="s">
        <v>26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105">
      <c r="A5" s="5" t="s">
        <v>0</v>
      </c>
      <c r="B5" s="5" t="s">
        <v>1</v>
      </c>
      <c r="C5" s="5" t="s">
        <v>2</v>
      </c>
      <c r="D5" s="6" t="s">
        <v>3</v>
      </c>
      <c r="E5" s="6" t="s">
        <v>19</v>
      </c>
      <c r="F5" s="6" t="s">
        <v>4</v>
      </c>
      <c r="G5" s="6" t="s">
        <v>18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5" t="s">
        <v>13</v>
      </c>
      <c r="Q5" s="5" t="s">
        <v>14</v>
      </c>
      <c r="R5" s="5" t="s">
        <v>15</v>
      </c>
      <c r="S5" s="6" t="s">
        <v>24</v>
      </c>
      <c r="T5" s="5" t="s">
        <v>25</v>
      </c>
      <c r="U5" s="5" t="s">
        <v>16</v>
      </c>
      <c r="V5" s="5" t="s">
        <v>17</v>
      </c>
    </row>
    <row r="6" spans="1:22">
      <c r="A6" s="4">
        <v>1</v>
      </c>
      <c r="B6" s="4" t="s">
        <v>20</v>
      </c>
      <c r="C6" s="4" t="s">
        <v>21</v>
      </c>
      <c r="D6" s="4">
        <v>10</v>
      </c>
      <c r="E6" s="4">
        <v>8</v>
      </c>
      <c r="F6" s="4">
        <v>7</v>
      </c>
      <c r="G6" s="4">
        <v>5</v>
      </c>
      <c r="H6" s="4">
        <v>7</v>
      </c>
      <c r="I6" s="4">
        <v>6</v>
      </c>
      <c r="J6" s="4">
        <v>4</v>
      </c>
      <c r="K6" s="4">
        <v>7</v>
      </c>
      <c r="L6" s="4">
        <v>7</v>
      </c>
      <c r="M6" s="4">
        <v>6</v>
      </c>
      <c r="N6" s="4">
        <v>6</v>
      </c>
      <c r="O6" s="4">
        <v>8</v>
      </c>
      <c r="P6" s="4">
        <f>SUM(D6:O6)</f>
        <v>81</v>
      </c>
      <c r="Q6" s="4">
        <f>AVERAGE(D6:O6)</f>
        <v>6.75</v>
      </c>
      <c r="R6" s="4" t="str">
        <f>IF(P6="", "", IF(COUNTIF(D6:O6, "&lt;5")&gt;0, "ຕົກ", _xlfn.RANK.EQ(P6, $P$6:$P$53, 0)))</f>
        <v>ຕົກ</v>
      </c>
      <c r="S6" s="4">
        <f>COUNTIF(D6:O6,"&lt;5")</f>
        <v>1</v>
      </c>
      <c r="T6" s="4" t="str">
        <f>IF(MIN(D6:O6)&gt;4, "ເສັງໃດ້","ຕົກ")</f>
        <v>ຕົກ</v>
      </c>
      <c r="U6" s="4">
        <v>8</v>
      </c>
      <c r="V6" s="4">
        <v>8</v>
      </c>
    </row>
    <row r="7" spans="1:22">
      <c r="A7" s="4">
        <v>2</v>
      </c>
      <c r="B7" s="4" t="s">
        <v>22</v>
      </c>
      <c r="C7" s="4" t="s">
        <v>23</v>
      </c>
      <c r="D7" s="4">
        <v>8</v>
      </c>
      <c r="E7" s="4">
        <v>5</v>
      </c>
      <c r="F7" s="4">
        <v>5</v>
      </c>
      <c r="G7" s="4">
        <v>7</v>
      </c>
      <c r="H7" s="4">
        <v>5</v>
      </c>
      <c r="I7" s="4">
        <v>9</v>
      </c>
      <c r="J7" s="4">
        <v>7</v>
      </c>
      <c r="K7" s="4">
        <v>6</v>
      </c>
      <c r="L7" s="4">
        <v>7</v>
      </c>
      <c r="M7" s="4">
        <v>8</v>
      </c>
      <c r="N7" s="4">
        <v>7</v>
      </c>
      <c r="O7" s="4">
        <v>7</v>
      </c>
      <c r="P7" s="4">
        <f>SUM(D7:O7)</f>
        <v>81</v>
      </c>
      <c r="Q7" s="4">
        <f>AVERAGE(D7:O7)</f>
        <v>6.75</v>
      </c>
      <c r="R7" s="4">
        <f>IF(P7="", "", IF(COUNTIF(D7:O7, "&lt;5")&gt;0, "ຕົກ", _xlfn.RANK.EQ(P7, $P$6:$P$53, 0)))</f>
        <v>1</v>
      </c>
      <c r="S7" s="4">
        <f>COUNTIF(D7:O7,"&lt;5")</f>
        <v>0</v>
      </c>
      <c r="T7" s="4" t="str">
        <f>IF(MIN(D7:O7)&gt;4, "ເສັງໃດ້","ຕົກ")</f>
        <v>ເສັງໃດ້</v>
      </c>
      <c r="U7" s="4">
        <v>8</v>
      </c>
      <c r="V7" s="4">
        <v>8</v>
      </c>
    </row>
    <row r="8" spans="1:22">
      <c r="A8" s="4">
        <v>3</v>
      </c>
      <c r="B8" s="4" t="s">
        <v>27</v>
      </c>
      <c r="C8" s="4" t="s">
        <v>28</v>
      </c>
      <c r="D8" s="4">
        <v>6</v>
      </c>
      <c r="E8" s="4">
        <v>4</v>
      </c>
      <c r="F8" s="4">
        <v>4</v>
      </c>
      <c r="G8" s="4">
        <v>5</v>
      </c>
      <c r="H8" s="4">
        <v>8</v>
      </c>
      <c r="I8" s="4">
        <v>7</v>
      </c>
      <c r="J8" s="4">
        <v>7</v>
      </c>
      <c r="K8" s="4">
        <v>6</v>
      </c>
      <c r="L8" s="4">
        <v>7</v>
      </c>
      <c r="M8" s="4">
        <v>8</v>
      </c>
      <c r="N8" s="4">
        <v>8</v>
      </c>
      <c r="O8" s="4">
        <v>8</v>
      </c>
      <c r="P8" s="4">
        <f>SUM(D8:O8)</f>
        <v>78</v>
      </c>
      <c r="Q8" s="4">
        <f>AVERAGE(D8:O8)</f>
        <v>6.5</v>
      </c>
      <c r="R8" s="4" t="str">
        <f>IF(P8="", "", IF(COUNTIF(D8:O8, "&lt;5")&gt;0, "ຕົກ", _xlfn.RANK.EQ(P8, $P$6:$P$53, 0)))</f>
        <v>ຕົກ</v>
      </c>
      <c r="S8" s="4">
        <f>COUNTIF(D8:O8,"&lt;5")</f>
        <v>2</v>
      </c>
      <c r="T8" s="4" t="str">
        <f>IF(MIN(D8:O8)&gt;4, "ເສັງໃດ້","ຕົກ")</f>
        <v>ຕົກ</v>
      </c>
      <c r="U8" s="4">
        <v>8</v>
      </c>
      <c r="V8" s="4">
        <v>7</v>
      </c>
    </row>
    <row r="10" spans="1:22">
      <c r="A10" s="8" t="s">
        <v>33</v>
      </c>
      <c r="B10" s="8"/>
      <c r="C10" s="8"/>
      <c r="D10" s="1"/>
      <c r="E10" s="1"/>
      <c r="F10" s="1"/>
      <c r="G10" s="1"/>
      <c r="H10" s="8" t="s">
        <v>34</v>
      </c>
      <c r="I10" s="8"/>
      <c r="J10" s="8"/>
      <c r="K10" s="8"/>
      <c r="L10" s="8"/>
      <c r="M10" s="1"/>
      <c r="N10" s="1"/>
      <c r="O10" s="1"/>
      <c r="P10" s="1"/>
      <c r="Q10" s="1"/>
      <c r="R10" s="8" t="s">
        <v>35</v>
      </c>
      <c r="S10" s="8"/>
      <c r="T10" s="8"/>
      <c r="U10" s="8"/>
      <c r="V10" s="8"/>
    </row>
  </sheetData>
  <mergeCells count="7">
    <mergeCell ref="A1:V1"/>
    <mergeCell ref="A2:V2"/>
    <mergeCell ref="A3:V3"/>
    <mergeCell ref="A10:C10"/>
    <mergeCell ref="H10:L10"/>
    <mergeCell ref="R10:V10"/>
    <mergeCell ref="A4: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2FF4-BF66-497C-B03C-980C604E2C5D}">
  <dimension ref="A1:Y10"/>
  <sheetViews>
    <sheetView workbookViewId="0">
      <selection activeCell="AC12" sqref="AC12"/>
    </sheetView>
  </sheetViews>
  <sheetFormatPr defaultRowHeight="14.4"/>
  <cols>
    <col min="3" max="3" width="5.33203125" bestFit="1" customWidth="1"/>
    <col min="4" max="4" width="11.6640625" bestFit="1" customWidth="1"/>
    <col min="5" max="5" width="14.6640625" bestFit="1" customWidth="1"/>
    <col min="6" max="17" width="4.21875" bestFit="1" customWidth="1"/>
    <col min="18" max="18" width="10.5546875" bestFit="1" customWidth="1"/>
    <col min="19" max="19" width="6.21875" bestFit="1" customWidth="1"/>
    <col min="20" max="20" width="9.6640625" bestFit="1" customWidth="1"/>
    <col min="21" max="21" width="4.21875" bestFit="1" customWidth="1"/>
    <col min="22" max="22" width="6" bestFit="1" customWidth="1"/>
    <col min="23" max="23" width="8.44140625" bestFit="1" customWidth="1"/>
    <col min="24" max="24" width="6.77734375" bestFit="1" customWidth="1"/>
  </cols>
  <sheetData>
    <row r="1" spans="1:25" ht="18">
      <c r="C1" s="12" t="s">
        <v>32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6"/>
    </row>
    <row r="2" spans="1:25" ht="19.8">
      <c r="C2" s="13" t="s">
        <v>36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5"/>
    </row>
    <row r="3" spans="1:25" ht="19.8">
      <c r="C3" s="13" t="s">
        <v>40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5"/>
    </row>
    <row r="4" spans="1:25" ht="18">
      <c r="A4" s="1"/>
      <c r="B4" s="1"/>
      <c r="C4" s="9" t="s">
        <v>29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5" ht="105">
      <c r="A5" s="2"/>
      <c r="B5" s="2"/>
      <c r="C5" s="5" t="s">
        <v>0</v>
      </c>
      <c r="D5" s="5" t="s">
        <v>1</v>
      </c>
      <c r="E5" s="5" t="s">
        <v>2</v>
      </c>
      <c r="F5" s="6" t="s">
        <v>3</v>
      </c>
      <c r="G5" s="6" t="s">
        <v>19</v>
      </c>
      <c r="H5" s="6" t="s">
        <v>4</v>
      </c>
      <c r="I5" s="6" t="s">
        <v>18</v>
      </c>
      <c r="J5" s="6" t="s">
        <v>5</v>
      </c>
      <c r="K5" s="6" t="s">
        <v>6</v>
      </c>
      <c r="L5" s="6" t="s">
        <v>7</v>
      </c>
      <c r="M5" s="6" t="s">
        <v>8</v>
      </c>
      <c r="N5" s="6" t="s">
        <v>9</v>
      </c>
      <c r="O5" s="6" t="s">
        <v>10</v>
      </c>
      <c r="P5" s="6" t="s">
        <v>11</v>
      </c>
      <c r="Q5" s="6" t="s">
        <v>12</v>
      </c>
      <c r="R5" s="5" t="s">
        <v>13</v>
      </c>
      <c r="S5" s="5" t="s">
        <v>14</v>
      </c>
      <c r="T5" s="5" t="s">
        <v>15</v>
      </c>
      <c r="U5" s="6" t="s">
        <v>24</v>
      </c>
      <c r="V5" s="5" t="s">
        <v>25</v>
      </c>
      <c r="W5" s="5" t="s">
        <v>16</v>
      </c>
      <c r="X5" s="5" t="s">
        <v>17</v>
      </c>
    </row>
    <row r="6" spans="1:25" ht="18">
      <c r="A6" s="1"/>
      <c r="B6" s="1"/>
      <c r="C6" s="4">
        <v>1</v>
      </c>
      <c r="D6" s="4" t="s">
        <v>20</v>
      </c>
      <c r="E6" s="4" t="s">
        <v>21</v>
      </c>
      <c r="F6" s="4">
        <v>10</v>
      </c>
      <c r="G6" s="4">
        <v>8</v>
      </c>
      <c r="H6" s="4">
        <v>7</v>
      </c>
      <c r="I6" s="4">
        <v>5</v>
      </c>
      <c r="J6" s="4">
        <v>7</v>
      </c>
      <c r="K6" s="4">
        <v>6</v>
      </c>
      <c r="L6" s="4">
        <v>4</v>
      </c>
      <c r="M6" s="4">
        <v>7</v>
      </c>
      <c r="N6" s="4">
        <v>7</v>
      </c>
      <c r="O6" s="4">
        <v>6</v>
      </c>
      <c r="P6" s="4">
        <v>6</v>
      </c>
      <c r="Q6" s="4">
        <v>8</v>
      </c>
      <c r="R6" s="4">
        <f>SUM(F6:Q6)</f>
        <v>81</v>
      </c>
      <c r="S6" s="4">
        <f>AVERAGE(F6:Q6)</f>
        <v>6.75</v>
      </c>
      <c r="T6" s="4" t="str">
        <f>IF(R6="", "", IF(COUNTIF(F6:Q6, "&lt;5")&gt;0, "ຕົກ", _xlfn.RANK.EQ(R6, $R$6:$R$53, 0)))</f>
        <v>ຕົກ</v>
      </c>
      <c r="U6" s="4">
        <f>COUNTIF(F6:Q6,"&lt;5")</f>
        <v>1</v>
      </c>
      <c r="V6" s="4" t="str">
        <f>IF(MIN(F6:Q6)&gt;4, "ເສັງໃດ້","ຕົກ")</f>
        <v>ຕົກ</v>
      </c>
      <c r="W6" s="4">
        <v>8</v>
      </c>
      <c r="X6" s="4">
        <v>8</v>
      </c>
    </row>
    <row r="7" spans="1:25" ht="18">
      <c r="A7" s="1"/>
      <c r="B7" s="1"/>
      <c r="C7" s="4">
        <v>2</v>
      </c>
      <c r="D7" s="4" t="s">
        <v>22</v>
      </c>
      <c r="E7" s="4" t="s">
        <v>23</v>
      </c>
      <c r="F7" s="4">
        <v>8</v>
      </c>
      <c r="G7" s="4">
        <v>5</v>
      </c>
      <c r="H7" s="4">
        <v>5</v>
      </c>
      <c r="I7" s="4">
        <v>7</v>
      </c>
      <c r="J7" s="4">
        <v>5</v>
      </c>
      <c r="K7" s="4">
        <v>9</v>
      </c>
      <c r="L7" s="4">
        <v>7</v>
      </c>
      <c r="M7" s="4">
        <v>6</v>
      </c>
      <c r="N7" s="4">
        <v>7</v>
      </c>
      <c r="O7" s="4">
        <v>8</v>
      </c>
      <c r="P7" s="4">
        <v>7</v>
      </c>
      <c r="Q7" s="4">
        <v>7</v>
      </c>
      <c r="R7" s="4">
        <f>SUM(F7:Q7)</f>
        <v>81</v>
      </c>
      <c r="S7" s="4">
        <f>AVERAGE(F7:Q7)</f>
        <v>6.75</v>
      </c>
      <c r="T7" s="4">
        <f t="shared" ref="T7:T8" si="0">IF(R7="", "", IF(COUNTIF(F7:Q7, "&lt;5")&gt;0, "ຕົກ", _xlfn.RANK.EQ(R7, $R$6:$R$53, 0)))</f>
        <v>1</v>
      </c>
      <c r="U7" s="4">
        <f>COUNTIF(F7:Q7,"&lt;5")</f>
        <v>0</v>
      </c>
      <c r="V7" s="4" t="str">
        <f>IF(MIN(F7:Q7)&gt;4, "ເສັງໃດ້","ຕົກ")</f>
        <v>ເສັງໃດ້</v>
      </c>
      <c r="W7" s="4">
        <v>8</v>
      </c>
      <c r="X7" s="4">
        <v>8</v>
      </c>
    </row>
    <row r="8" spans="1:25" ht="18">
      <c r="B8" s="1"/>
      <c r="C8" s="4">
        <v>3</v>
      </c>
      <c r="D8" s="4" t="s">
        <v>27</v>
      </c>
      <c r="E8" s="4" t="s">
        <v>28</v>
      </c>
      <c r="F8" s="4">
        <v>6</v>
      </c>
      <c r="G8" s="4">
        <v>4</v>
      </c>
      <c r="H8" s="4">
        <v>4</v>
      </c>
      <c r="I8" s="4">
        <v>5</v>
      </c>
      <c r="J8" s="4">
        <v>8</v>
      </c>
      <c r="K8" s="4">
        <v>7</v>
      </c>
      <c r="L8" s="4">
        <v>7</v>
      </c>
      <c r="M8" s="4">
        <v>6</v>
      </c>
      <c r="N8" s="4">
        <v>7</v>
      </c>
      <c r="O8" s="4">
        <v>8</v>
      </c>
      <c r="P8" s="4">
        <v>8</v>
      </c>
      <c r="Q8" s="4">
        <v>8</v>
      </c>
      <c r="R8" s="4">
        <f>SUM(F8:Q8)</f>
        <v>78</v>
      </c>
      <c r="S8" s="4">
        <f>AVERAGE(F8:Q8)</f>
        <v>6.5</v>
      </c>
      <c r="T8" s="4" t="str">
        <f t="shared" si="0"/>
        <v>ຕົກ</v>
      </c>
      <c r="U8" s="4">
        <f>COUNTIF(F8:Q8,"&lt;5")</f>
        <v>2</v>
      </c>
      <c r="V8" s="4" t="str">
        <f>IF(MIN(F8:Q8)&gt;4, "ເສັງໃດ້","ຕົກ")</f>
        <v>ຕົກ</v>
      </c>
      <c r="W8" s="4">
        <v>8</v>
      </c>
      <c r="X8" s="4">
        <v>7</v>
      </c>
    </row>
    <row r="9" spans="1:25" ht="1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5" ht="18">
      <c r="C10" s="8" t="s">
        <v>33</v>
      </c>
      <c r="D10" s="8"/>
      <c r="E10" s="8"/>
      <c r="F10" s="8"/>
      <c r="G10" s="1"/>
      <c r="H10" s="1"/>
      <c r="I10" s="1"/>
      <c r="J10" s="1"/>
      <c r="K10" s="8" t="s">
        <v>34</v>
      </c>
      <c r="L10" s="8"/>
      <c r="M10" s="8"/>
      <c r="N10" s="8"/>
      <c r="O10" s="8"/>
      <c r="P10" s="1"/>
      <c r="Q10" s="1"/>
      <c r="R10" s="1"/>
      <c r="S10" s="1"/>
      <c r="T10" s="1"/>
      <c r="U10" s="8" t="s">
        <v>35</v>
      </c>
      <c r="V10" s="8"/>
      <c r="W10" s="8"/>
      <c r="X10" s="8"/>
      <c r="Y10" s="17"/>
    </row>
  </sheetData>
  <mergeCells count="7">
    <mergeCell ref="C1:X1"/>
    <mergeCell ref="C2:X2"/>
    <mergeCell ref="U10:X10"/>
    <mergeCell ref="C10:F10"/>
    <mergeCell ref="C4:X4"/>
    <mergeCell ref="K10:O10"/>
    <mergeCell ref="C3:X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259A-4BC8-40F5-A756-7766EE2A6080}">
  <dimension ref="A1:X10"/>
  <sheetViews>
    <sheetView workbookViewId="0">
      <selection activeCell="C1" sqref="C1:X1"/>
    </sheetView>
  </sheetViews>
  <sheetFormatPr defaultRowHeight="14.4"/>
  <cols>
    <col min="3" max="3" width="5.33203125" bestFit="1" customWidth="1"/>
    <col min="4" max="4" width="11.6640625" bestFit="1" customWidth="1"/>
    <col min="5" max="5" width="14.6640625" bestFit="1" customWidth="1"/>
    <col min="6" max="17" width="4.21875" bestFit="1" customWidth="1"/>
    <col min="18" max="18" width="10.5546875" bestFit="1" customWidth="1"/>
    <col min="19" max="19" width="6.21875" bestFit="1" customWidth="1"/>
    <col min="20" max="20" width="9.6640625" bestFit="1" customWidth="1"/>
    <col min="21" max="21" width="4.21875" bestFit="1" customWidth="1"/>
    <col min="22" max="22" width="6" bestFit="1" customWidth="1"/>
    <col min="23" max="23" width="8.44140625" bestFit="1" customWidth="1"/>
    <col min="24" max="24" width="6.77734375" bestFit="1" customWidth="1"/>
  </cols>
  <sheetData>
    <row r="1" spans="1:24" ht="18">
      <c r="C1" s="12" t="s">
        <v>32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9.8">
      <c r="C2" s="13" t="s">
        <v>36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ht="19.8">
      <c r="C3" s="14" t="s">
        <v>39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18">
      <c r="A4" s="1"/>
      <c r="B4" s="1"/>
      <c r="C4" s="9" t="s">
        <v>30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05">
      <c r="A5" s="2"/>
      <c r="B5" s="2"/>
      <c r="C5" s="5" t="s">
        <v>0</v>
      </c>
      <c r="D5" s="5" t="s">
        <v>1</v>
      </c>
      <c r="E5" s="5" t="s">
        <v>2</v>
      </c>
      <c r="F5" s="6" t="s">
        <v>3</v>
      </c>
      <c r="G5" s="6" t="s">
        <v>19</v>
      </c>
      <c r="H5" s="6" t="s">
        <v>4</v>
      </c>
      <c r="I5" s="6" t="s">
        <v>18</v>
      </c>
      <c r="J5" s="6" t="s">
        <v>5</v>
      </c>
      <c r="K5" s="6" t="s">
        <v>6</v>
      </c>
      <c r="L5" s="6" t="s">
        <v>7</v>
      </c>
      <c r="M5" s="6" t="s">
        <v>8</v>
      </c>
      <c r="N5" s="6" t="s">
        <v>9</v>
      </c>
      <c r="O5" s="6" t="s">
        <v>10</v>
      </c>
      <c r="P5" s="6" t="s">
        <v>11</v>
      </c>
      <c r="Q5" s="6" t="s">
        <v>12</v>
      </c>
      <c r="R5" s="5" t="s">
        <v>13</v>
      </c>
      <c r="S5" s="5" t="s">
        <v>14</v>
      </c>
      <c r="T5" s="5" t="s">
        <v>15</v>
      </c>
      <c r="U5" s="6" t="s">
        <v>24</v>
      </c>
      <c r="V5" s="5" t="s">
        <v>25</v>
      </c>
      <c r="W5" s="5" t="s">
        <v>16</v>
      </c>
      <c r="X5" s="5" t="s">
        <v>17</v>
      </c>
    </row>
    <row r="6" spans="1:24" ht="18">
      <c r="A6" s="1"/>
      <c r="B6" s="1"/>
      <c r="C6" s="4">
        <v>1</v>
      </c>
      <c r="D6" s="4" t="s">
        <v>20</v>
      </c>
      <c r="E6" s="4" t="s">
        <v>21</v>
      </c>
      <c r="F6" s="4">
        <v>10</v>
      </c>
      <c r="G6" s="4">
        <v>8</v>
      </c>
      <c r="H6" s="4">
        <v>7</v>
      </c>
      <c r="I6" s="4">
        <v>5</v>
      </c>
      <c r="J6" s="4">
        <v>7</v>
      </c>
      <c r="K6" s="4">
        <v>6</v>
      </c>
      <c r="L6" s="4">
        <v>4</v>
      </c>
      <c r="M6" s="4">
        <v>7</v>
      </c>
      <c r="N6" s="4">
        <v>7</v>
      </c>
      <c r="O6" s="4">
        <v>6</v>
      </c>
      <c r="P6" s="4">
        <v>6</v>
      </c>
      <c r="Q6" s="4">
        <v>8</v>
      </c>
      <c r="R6" s="4">
        <f>SUM(F6:Q6)</f>
        <v>81</v>
      </c>
      <c r="S6" s="4">
        <f>AVERAGE(F6:Q6)</f>
        <v>6.75</v>
      </c>
      <c r="T6" s="4" t="str">
        <f>IF(R6="", "", IF(COUNTIF(F6:Q6, "&lt;5")&gt;0, "ຕົກ", _xlfn.RANK.EQ(R6, $R$6:$R$53, 0)))</f>
        <v>ຕົກ</v>
      </c>
      <c r="U6" s="4">
        <f>COUNTIF(F6:Q6,"&lt;5")</f>
        <v>1</v>
      </c>
      <c r="V6" s="4" t="str">
        <f>IF(MIN(F6:Q6)&gt;4, "ເສັງໃດ້","ຕົກ")</f>
        <v>ຕົກ</v>
      </c>
      <c r="W6" s="4">
        <v>8</v>
      </c>
      <c r="X6" s="4">
        <v>8</v>
      </c>
    </row>
    <row r="7" spans="1:24" ht="18">
      <c r="A7" s="1"/>
      <c r="B7" s="1"/>
      <c r="C7" s="4">
        <v>2</v>
      </c>
      <c r="D7" s="4" t="s">
        <v>22</v>
      </c>
      <c r="E7" s="4" t="s">
        <v>23</v>
      </c>
      <c r="F7" s="4">
        <v>8</v>
      </c>
      <c r="G7" s="4">
        <v>5</v>
      </c>
      <c r="H7" s="4">
        <v>5</v>
      </c>
      <c r="I7" s="4">
        <v>7</v>
      </c>
      <c r="J7" s="4">
        <v>5</v>
      </c>
      <c r="K7" s="4">
        <v>9</v>
      </c>
      <c r="L7" s="4">
        <v>7</v>
      </c>
      <c r="M7" s="4">
        <v>6</v>
      </c>
      <c r="N7" s="4">
        <v>7</v>
      </c>
      <c r="O7" s="4">
        <v>8</v>
      </c>
      <c r="P7" s="4">
        <v>7</v>
      </c>
      <c r="Q7" s="4">
        <v>7</v>
      </c>
      <c r="R7" s="4">
        <f>SUM(F7:Q7)</f>
        <v>81</v>
      </c>
      <c r="S7" s="4">
        <f>AVERAGE(F7:Q7)</f>
        <v>6.75</v>
      </c>
      <c r="T7" s="4">
        <f t="shared" ref="T7:T8" si="0">IF(R7="", "", IF(COUNTIF(F7:Q7, "&lt;5")&gt;0, "ຕົກ", _xlfn.RANK.EQ(R7, $R$6:$R$53, 0)))</f>
        <v>1</v>
      </c>
      <c r="U7" s="4">
        <f>COUNTIF(F7:Q7,"&lt;5")</f>
        <v>0</v>
      </c>
      <c r="V7" s="4" t="str">
        <f>IF(MIN(F7:Q7)&gt;4, "ເສັງໃດ້","ຕົກ")</f>
        <v>ເສັງໃດ້</v>
      </c>
      <c r="W7" s="4">
        <v>8</v>
      </c>
      <c r="X7" s="4">
        <v>8</v>
      </c>
    </row>
    <row r="8" spans="1:24" ht="18">
      <c r="B8" s="1"/>
      <c r="C8" s="4">
        <v>3</v>
      </c>
      <c r="D8" s="4" t="s">
        <v>27</v>
      </c>
      <c r="E8" s="4" t="s">
        <v>28</v>
      </c>
      <c r="F8" s="4">
        <v>6</v>
      </c>
      <c r="G8" s="4">
        <v>4</v>
      </c>
      <c r="H8" s="4">
        <v>4</v>
      </c>
      <c r="I8" s="4">
        <v>5</v>
      </c>
      <c r="J8" s="4">
        <v>8</v>
      </c>
      <c r="K8" s="4">
        <v>7</v>
      </c>
      <c r="L8" s="4">
        <v>7</v>
      </c>
      <c r="M8" s="4">
        <v>6</v>
      </c>
      <c r="N8" s="4">
        <v>7</v>
      </c>
      <c r="O8" s="4">
        <v>8</v>
      </c>
      <c r="P8" s="4">
        <v>8</v>
      </c>
      <c r="Q8" s="4">
        <v>8</v>
      </c>
      <c r="R8" s="4">
        <f>SUM(F8:Q8)</f>
        <v>78</v>
      </c>
      <c r="S8" s="4">
        <f>AVERAGE(F8:Q8)</f>
        <v>6.5</v>
      </c>
      <c r="T8" s="4" t="str">
        <f t="shared" si="0"/>
        <v>ຕົກ</v>
      </c>
      <c r="U8" s="4">
        <f>COUNTIF(F8:Q8,"&lt;5")</f>
        <v>2</v>
      </c>
      <c r="V8" s="4" t="str">
        <f>IF(MIN(F8:Q8)&gt;4, "ເສັງໃດ້","ຕົກ")</f>
        <v>ຕົກ</v>
      </c>
      <c r="W8" s="4">
        <v>8</v>
      </c>
      <c r="X8" s="4">
        <v>7</v>
      </c>
    </row>
    <row r="9" spans="1:24" ht="1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4" ht="18">
      <c r="C10" s="12" t="s">
        <v>33</v>
      </c>
      <c r="D10" s="12"/>
      <c r="E10" s="12"/>
      <c r="F10" s="7"/>
      <c r="G10" s="7"/>
      <c r="H10" s="7"/>
      <c r="I10" s="7"/>
      <c r="J10" s="12" t="s">
        <v>34</v>
      </c>
      <c r="K10" s="12"/>
      <c r="L10" s="12"/>
      <c r="M10" s="12"/>
      <c r="N10" s="12"/>
      <c r="O10" s="7"/>
      <c r="P10" s="7"/>
      <c r="Q10" s="7"/>
      <c r="R10" s="7"/>
      <c r="S10" s="7"/>
      <c r="T10" s="12" t="s">
        <v>35</v>
      </c>
      <c r="U10" s="12"/>
      <c r="V10" s="12"/>
      <c r="W10" s="12"/>
      <c r="X10" s="12"/>
    </row>
  </sheetData>
  <mergeCells count="7">
    <mergeCell ref="C10:E10"/>
    <mergeCell ref="J10:N10"/>
    <mergeCell ref="T10:X10"/>
    <mergeCell ref="C4:X4"/>
    <mergeCell ref="C1:X1"/>
    <mergeCell ref="C2:X2"/>
    <mergeCell ref="C3:X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9BBA-78B2-4F47-82D4-86F820E4A76E}">
  <dimension ref="A1:V10"/>
  <sheetViews>
    <sheetView tabSelected="1" workbookViewId="0">
      <selection activeCell="U13" sqref="U13"/>
    </sheetView>
  </sheetViews>
  <sheetFormatPr defaultRowHeight="14.4"/>
  <cols>
    <col min="1" max="1" width="5.33203125" bestFit="1" customWidth="1"/>
    <col min="2" max="2" width="11.6640625" bestFit="1" customWidth="1"/>
    <col min="3" max="3" width="14.6640625" bestFit="1" customWidth="1"/>
    <col min="4" max="15" width="4.21875" bestFit="1" customWidth="1"/>
    <col min="16" max="16" width="10.5546875" bestFit="1" customWidth="1"/>
    <col min="17" max="17" width="6.21875" bestFit="1" customWidth="1"/>
    <col min="18" max="18" width="9.6640625" bestFit="1" customWidth="1"/>
    <col min="19" max="19" width="4.21875" bestFit="1" customWidth="1"/>
    <col min="20" max="20" width="6" bestFit="1" customWidth="1"/>
    <col min="21" max="21" width="8.44140625" bestFit="1" customWidth="1"/>
    <col min="22" max="22" width="6.77734375" bestFit="1" customWidth="1"/>
  </cols>
  <sheetData>
    <row r="1" spans="1:22" s="1" customFormat="1" ht="18">
      <c r="A1" s="8" t="s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9.8">
      <c r="A2" s="10" t="s">
        <v>36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1" customFormat="1" ht="19.8">
      <c r="A3" s="11" t="s">
        <v>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18">
      <c r="A4" s="9" t="s">
        <v>31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105">
      <c r="A5" s="5" t="s">
        <v>0</v>
      </c>
      <c r="B5" s="5" t="s">
        <v>1</v>
      </c>
      <c r="C5" s="5" t="s">
        <v>2</v>
      </c>
      <c r="D5" s="6" t="s">
        <v>3</v>
      </c>
      <c r="E5" s="6" t="s">
        <v>19</v>
      </c>
      <c r="F5" s="6" t="s">
        <v>4</v>
      </c>
      <c r="G5" s="6" t="s">
        <v>18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5" t="s">
        <v>13</v>
      </c>
      <c r="Q5" s="5" t="s">
        <v>14</v>
      </c>
      <c r="R5" s="5" t="s">
        <v>15</v>
      </c>
      <c r="S5" s="6" t="s">
        <v>24</v>
      </c>
      <c r="T5" s="5" t="s">
        <v>25</v>
      </c>
      <c r="U5" s="5" t="s">
        <v>16</v>
      </c>
      <c r="V5" s="5" t="s">
        <v>17</v>
      </c>
    </row>
    <row r="6" spans="1:22" ht="18">
      <c r="A6" s="4">
        <v>1</v>
      </c>
      <c r="B6" s="4" t="s">
        <v>20</v>
      </c>
      <c r="C6" s="4" t="s">
        <v>21</v>
      </c>
      <c r="D6" s="4">
        <v>10</v>
      </c>
      <c r="E6" s="4">
        <v>8</v>
      </c>
      <c r="F6" s="4">
        <v>7</v>
      </c>
      <c r="G6" s="4">
        <v>5</v>
      </c>
      <c r="H6" s="4">
        <v>7</v>
      </c>
      <c r="I6" s="4">
        <v>6</v>
      </c>
      <c r="J6" s="4">
        <v>4</v>
      </c>
      <c r="K6" s="4">
        <v>7</v>
      </c>
      <c r="L6" s="4">
        <v>7</v>
      </c>
      <c r="M6" s="4">
        <v>6</v>
      </c>
      <c r="N6" s="4">
        <v>6</v>
      </c>
      <c r="O6" s="4">
        <v>8</v>
      </c>
      <c r="P6" s="4">
        <f>SUM(D6:O6)</f>
        <v>81</v>
      </c>
      <c r="Q6" s="4">
        <f>AVERAGE(D6:O6)</f>
        <v>6.75</v>
      </c>
      <c r="R6" s="4" t="str">
        <f>IF(P6="", "", IF(COUNTIF(D6:O6, "&lt;5")&gt;0, "ຕົກ", _xlfn.RANK.EQ(P6, $P$6:$P$53, 0)))</f>
        <v>ຕົກ</v>
      </c>
      <c r="S6" s="4">
        <f>COUNTIF(D6:O6,"&lt;5")</f>
        <v>1</v>
      </c>
      <c r="T6" s="4" t="str">
        <f>IF(MIN(D6:O6)&gt;4, "ເສັງໃດ້","ຕົກ")</f>
        <v>ຕົກ</v>
      </c>
      <c r="U6" s="4">
        <v>8</v>
      </c>
      <c r="V6" s="4">
        <v>8</v>
      </c>
    </row>
    <row r="7" spans="1:22" ht="18">
      <c r="A7" s="4">
        <v>2</v>
      </c>
      <c r="B7" s="4" t="s">
        <v>22</v>
      </c>
      <c r="C7" s="4" t="s">
        <v>23</v>
      </c>
      <c r="D7" s="4">
        <v>8</v>
      </c>
      <c r="E7" s="4">
        <v>5</v>
      </c>
      <c r="F7" s="4">
        <v>5</v>
      </c>
      <c r="G7" s="4">
        <v>7</v>
      </c>
      <c r="H7" s="4">
        <v>5</v>
      </c>
      <c r="I7" s="4">
        <v>9</v>
      </c>
      <c r="J7" s="4">
        <v>7</v>
      </c>
      <c r="K7" s="4">
        <v>6</v>
      </c>
      <c r="L7" s="4">
        <v>7</v>
      </c>
      <c r="M7" s="4">
        <v>8</v>
      </c>
      <c r="N7" s="4">
        <v>7</v>
      </c>
      <c r="O7" s="4">
        <v>7</v>
      </c>
      <c r="P7" s="4">
        <f>SUM(D7:O7)</f>
        <v>81</v>
      </c>
      <c r="Q7" s="4">
        <f>AVERAGE(D7:O7)</f>
        <v>6.75</v>
      </c>
      <c r="R7" s="4">
        <f>IF(P7="", "", IF(COUNTIF(D7:O7, "&lt;5")&gt;0, "ຕົກ", _xlfn.RANK.EQ(P7, $P$6:$P$53, 0)))</f>
        <v>1</v>
      </c>
      <c r="S7" s="4">
        <f>COUNTIF(D7:O7,"&lt;5")</f>
        <v>0</v>
      </c>
      <c r="T7" s="4" t="str">
        <f>IF(MIN(D7:O7)&gt;4, "ເສັງໃດ້","ຕົກ")</f>
        <v>ເສັງໃດ້</v>
      </c>
      <c r="U7" s="4">
        <v>8</v>
      </c>
      <c r="V7" s="4">
        <v>8</v>
      </c>
    </row>
    <row r="8" spans="1:22" ht="18">
      <c r="A8" s="4">
        <v>3</v>
      </c>
      <c r="B8" s="4" t="s">
        <v>27</v>
      </c>
      <c r="C8" s="4" t="s">
        <v>28</v>
      </c>
      <c r="D8" s="4">
        <v>6</v>
      </c>
      <c r="E8" s="4">
        <v>4</v>
      </c>
      <c r="F8" s="4">
        <v>4</v>
      </c>
      <c r="G8" s="4">
        <v>5</v>
      </c>
      <c r="H8" s="4">
        <v>8</v>
      </c>
      <c r="I8" s="4">
        <v>7</v>
      </c>
      <c r="J8" s="4">
        <v>7</v>
      </c>
      <c r="K8" s="4">
        <v>6</v>
      </c>
      <c r="L8" s="4">
        <v>7</v>
      </c>
      <c r="M8" s="4">
        <v>8</v>
      </c>
      <c r="N8" s="4">
        <v>8</v>
      </c>
      <c r="O8" s="4">
        <v>8</v>
      </c>
      <c r="P8" s="4">
        <f>SUM(D8:O8)</f>
        <v>78</v>
      </c>
      <c r="Q8" s="4">
        <f>AVERAGE(D8:O8)</f>
        <v>6.5</v>
      </c>
      <c r="R8" s="4" t="str">
        <f>IF(P8="", "", IF(COUNTIF(D8:O8, "&lt;5")&gt;0, "ຕົກ", _xlfn.RANK.EQ(P8, $P$6:$P$53, 0)))</f>
        <v>ຕົກ</v>
      </c>
      <c r="S8" s="4">
        <f>COUNTIF(D8:O8,"&lt;5")</f>
        <v>2</v>
      </c>
      <c r="T8" s="4" t="str">
        <f>IF(MIN(D8:O8)&gt;4, "ເສັງໃດ້","ຕົກ")</f>
        <v>ຕົກ</v>
      </c>
      <c r="U8" s="4">
        <v>8</v>
      </c>
      <c r="V8" s="4">
        <v>7</v>
      </c>
    </row>
    <row r="10" spans="1:22" s="1" customFormat="1" ht="18">
      <c r="A10" s="8" t="s">
        <v>33</v>
      </c>
      <c r="B10" s="8"/>
      <c r="C10" s="8"/>
      <c r="H10" s="8" t="s">
        <v>34</v>
      </c>
      <c r="I10" s="8"/>
      <c r="J10" s="8"/>
      <c r="K10" s="8"/>
      <c r="L10" s="8"/>
      <c r="R10" s="8" t="s">
        <v>35</v>
      </c>
      <c r="S10" s="8"/>
      <c r="T10" s="8"/>
      <c r="U10" s="8"/>
      <c r="V10" s="8"/>
    </row>
  </sheetData>
  <mergeCells count="7">
    <mergeCell ref="H10:L10"/>
    <mergeCell ref="A10:C10"/>
    <mergeCell ref="R10:V10"/>
    <mergeCell ref="A4:V4"/>
    <mergeCell ref="A1:V1"/>
    <mergeCell ref="A2:V2"/>
    <mergeCell ref="A3:V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 LASACHACK</dc:creator>
  <cp:lastModifiedBy>Moli LASACHACK</cp:lastModifiedBy>
  <dcterms:created xsi:type="dcterms:W3CDTF">2026-05-16T16:05:19Z</dcterms:created>
  <dcterms:modified xsi:type="dcterms:W3CDTF">2026-07-01T07:53:46Z</dcterms:modified>
</cp:coreProperties>
</file>